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099c820731260/Desktop/Exam/excel/"/>
    </mc:Choice>
  </mc:AlternateContent>
  <xr:revisionPtr revIDLastSave="1" documentId="8_{07BD9DBA-2066-4AD3-8B77-1E4035EEEBF8}" xr6:coauthVersionLast="47" xr6:coauthVersionMax="47" xr10:uidLastSave="{D9BCF510-31BF-44B7-90F0-DF12C880C900}"/>
  <bookViews>
    <workbookView xWindow="900" yWindow="930" windowWidth="13155" windowHeight="14160" firstSheet="2" activeTab="3" xr2:uid="{44D617E4-29E1-42C4-8F54-745DB392B190}"/>
  </bookViews>
  <sheets>
    <sheet name="Row sheet" sheetId="1" r:id="rId1"/>
    <sheet name="Lookup sheet" sheetId="2" r:id="rId2"/>
    <sheet name="clean sheet" sheetId="3" r:id="rId3"/>
    <sheet name="summary_sheet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I6" i="3"/>
  <c r="I4" i="3"/>
  <c r="I2" i="3"/>
  <c r="I1" i="1"/>
</calcChain>
</file>

<file path=xl/sharedStrings.xml><?xml version="1.0" encoding="utf-8"?>
<sst xmlns="http://schemas.openxmlformats.org/spreadsheetml/2006/main" count="123" uniqueCount="34">
  <si>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</si>
  <si>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</si>
  <si>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</si>
  <si>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</si>
  <si>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</si>
  <si>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</si>
  <si>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</si>
  <si>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</si>
  <si>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</si>
  <si>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</si>
  <si>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</si>
  <si>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</si>
  <si>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</si>
  <si>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</si>
  <si>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</si>
  <si>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</si>
  <si>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</si>
  <si>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</si>
  <si>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</si>
  <si>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</si>
  <si>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</si>
  <si>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</si>
  <si>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</si>
  <si>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</si>
  <si>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Total Rows</t>
  </si>
  <si>
    <t>after remove duplicate</t>
  </si>
  <si>
    <t>Before remove duplicate</t>
  </si>
  <si>
    <t>duplicate rows</t>
  </si>
  <si>
    <t>Delay_days</t>
  </si>
  <si>
    <t>Total Delays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</si>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</sst>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49" fontId="0" fillId="0" borderId="1" xfId="0" applyNumberFormat="1" applyBorder="1"/>
    <xf numFmtId="1" fontId="0" fillId="0" borderId="1" xfId="0" applyNumberFormat="1" applyBorder="1"/>
    <xf numFmtId="49" fontId="0" fillId="2" borderId="1" xfId="0" applyNumberFormat="1" applyFill="1" applyBorder="1"/>
    <xf numFmtId="1" fontId="0" fillId="2" borderId="1" xfId="0" applyNumberFormat="1" applyFill="1" applyBorder="1"/>
    <xf numFmtId="0" fontId="1" fillId="3" borderId="0" xfId="0" applyFont="1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[analysis.xlsx]summary_sheet!PivotTable1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Delay_day</a:t>
            </a:r>
            <a:r>
              <a:rPr lang="en-IN" baseline="0"/>
              <a:t> by month and service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summary_sheet!$F$1:$F$2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summary_sheet!$E$3:$E$5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summary_sheet!$F$3:$F$5</c:f>
              <c:numCache>
                <c:formatCode>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A-44A4-B37F-4496F0A36389}"/>
            </c:ext>
          </c:extLst>
        </c:ser>
        <c:ser>
          <c:idx val="1"/>
          <c:order val="1"/>
          <c:tx>
            <c:strRef>
              <c:f>summary_sheet!$G$1:$G$2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summary_sheet!$E$3:$E$5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summary_sheet!$G$3:$G$5</c:f>
              <c:numCache>
                <c:formatCode>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A-44A4-B37F-4496F0A36389}"/>
            </c:ext>
          </c:extLst>
        </c:ser>
        <c:ser>
          <c:idx val="2"/>
          <c:order val="2"/>
          <c:tx>
            <c:strRef>
              <c:f>summary_sheet!$H$1:$H$2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summary_sheet!$E$3:$E$5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summary_sheet!$H$3:$H$5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A-44A4-B37F-4496F0A363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8000016"/>
        <c:axId val="916574352"/>
      </c:barChart>
      <c:catAx>
        <c:axId val="90800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74352"/>
        <c:crosses val="autoZero"/>
        <c:auto val="1"/>
        <c:lblAlgn val="ctr"/>
        <c:lblOffset val="100"/>
        <c:noMultiLvlLbl val="0"/>
      </c:catAx>
      <c:valAx>
        <c:axId val="916574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Dalay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90800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266706</xdr:colOff>
      <xdr:row>6</xdr:row>
      <xdr:rowOff>152400</xdr:rowOff>
    </xdr:from>
    <xdr:to>
      <xdr:col>5</xdr:col>
      <xdr:colOff>1038231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21DDA-977F-960D-51B0-3D9FBFD91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 MAKVANA" refreshedDate="46291.46563958333" createdVersion="8" refreshedVersion="8" minRefreshableVersion="3" recordCount="12" xr:uid="{DBDB8C35-D7CF-4B00-859F-F816B1AC2E6B}">
  <cacheSource type="worksheet">
    <worksheetSource ref="A1:H13" sheet="clean sheet"/>
  </cacheSource>
  <cacheFields count="8">
    <cacheField name="record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route_id" numFmtId="49">
      <sharedItems/>
    </cacheField>
    <cacheField name="hub" numFmtId="49">
      <sharedItems/>
    </cacheField>
    <cacheField name="promised_days" numFmtId="1">
      <sharedItems containsSemiMixedTypes="0" containsString="0" containsNumber="1" containsInteger="1" minValue="2" maxValue="6"/>
    </cacheField>
    <cacheField name="actual_days" numFmtId="1">
      <sharedItems containsSemiMixedTypes="0" containsString="0" containsNumber="1" containsInteger="1" minValue="2" maxValue="15"/>
    </cacheField>
    <cacheField name="service_type" numFmtId="49">
      <sharedItems count="2">
        <s v="Express"/>
        <s v="Standard"/>
      </sharedItems>
    </cacheField>
    <cacheField name="Delay_days" numFmtId="1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63BD2-7199-407D-82EA-E7CDBD559A1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I5" firstHeaderRow="1" firstDataRow="2" firstDataCol="1"/>
  <pivotFields count="8"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dataField="1" numFmtI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 numFmtId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695C-E2CA-4A22-AF53-9F1859A724D1}">
  <dimension ref="A1:I14"/>
  <sheetViews>
    <sheetView workbookViewId="0">
      <selection activeCell="I1" sqref="I1"/>
    </sheetView>
  </sheetViews>
  <sheetFormatPr defaultRowHeight="15" x14ac:dyDescent="0.25"/>
  <cols>
    <col min="1" max="1" width="9.42578125" bestFit="1" customWidth="1"/>
    <col min="2" max="2" width="6.85546875" bestFit="1" customWidth="1"/>
    <col min="3" max="3" width="8.5703125" bestFit="1" customWidth="1"/>
    <col min="4" max="4" width="8.28515625" bestFit="1" customWidth="1"/>
    <col min="5" max="5" width="14.5703125" bestFit="1" customWidth="1"/>
    <col min="6" max="6" width="11.28515625" bestFit="1" customWidth="1"/>
    <col min="8" max="8" width="10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5" t="s">
        <v>24</v>
      </c>
      <c r="I1" s="6">
        <f>COUNTA(A2:A14)</f>
        <v>13</v>
      </c>
    </row>
    <row r="2" spans="1:9" x14ac:dyDescent="0.25">
      <c r="A2" s="3">
        <v>1</v>
      </c>
      <c r="B2" s="3" t="s">
        <v>6</v>
      </c>
      <c r="C2" s="3" t="s">
        <v>7</v>
      </c>
      <c r="D2" s="3" t="s">
        <v>8</v>
      </c>
      <c r="E2" s="3">
        <v>2</v>
      </c>
      <c r="F2" s="3">
        <v>2</v>
      </c>
    </row>
    <row r="3" spans="1:9" x14ac:dyDescent="0.25">
      <c r="A3" s="3">
        <v>2</v>
      </c>
      <c r="B3" s="3" t="s">
        <v>6</v>
      </c>
      <c r="C3" s="3" t="s">
        <v>9</v>
      </c>
      <c r="D3" s="3" t="s">
        <v>10</v>
      </c>
      <c r="E3" s="3">
        <v>3</v>
      </c>
      <c r="F3" s="3">
        <v>4</v>
      </c>
    </row>
    <row r="4" spans="1:9" x14ac:dyDescent="0.25">
      <c r="A4" s="3">
        <v>3</v>
      </c>
      <c r="B4" s="3" t="s">
        <v>6</v>
      </c>
      <c r="C4" s="3" t="s">
        <v>11</v>
      </c>
      <c r="D4" s="3" t="s">
        <v>12</v>
      </c>
      <c r="E4" s="3">
        <v>5</v>
      </c>
      <c r="F4" s="3">
        <v>8</v>
      </c>
    </row>
    <row r="5" spans="1:9" x14ac:dyDescent="0.25">
      <c r="A5" s="3">
        <v>4</v>
      </c>
      <c r="B5" s="3" t="s">
        <v>6</v>
      </c>
      <c r="C5" s="3" t="s">
        <v>13</v>
      </c>
      <c r="D5" s="3" t="s">
        <v>8</v>
      </c>
      <c r="E5" s="3">
        <v>6</v>
      </c>
      <c r="F5" s="3">
        <v>10</v>
      </c>
    </row>
    <row r="6" spans="1:9" x14ac:dyDescent="0.25">
      <c r="A6" s="3">
        <v>5</v>
      </c>
      <c r="B6" s="3" t="s">
        <v>14</v>
      </c>
      <c r="C6" s="3" t="s">
        <v>7</v>
      </c>
      <c r="D6" s="3" t="s">
        <v>10</v>
      </c>
      <c r="E6" s="3">
        <v>2</v>
      </c>
      <c r="F6" s="3">
        <v>5</v>
      </c>
    </row>
    <row r="7" spans="1:9" x14ac:dyDescent="0.25">
      <c r="A7" s="3">
        <v>6</v>
      </c>
      <c r="B7" s="3" t="s">
        <v>14</v>
      </c>
      <c r="C7" s="3" t="s">
        <v>9</v>
      </c>
      <c r="D7" s="3" t="s">
        <v>12</v>
      </c>
      <c r="E7" s="3">
        <v>3</v>
      </c>
      <c r="F7" s="3">
        <v>3</v>
      </c>
    </row>
    <row r="8" spans="1:9" x14ac:dyDescent="0.25">
      <c r="A8" s="3">
        <v>7</v>
      </c>
      <c r="B8" s="3" t="s">
        <v>14</v>
      </c>
      <c r="C8" s="3" t="s">
        <v>11</v>
      </c>
      <c r="D8" s="3" t="s">
        <v>12</v>
      </c>
      <c r="E8" s="3">
        <v>5</v>
      </c>
      <c r="F8" s="3">
        <v>10</v>
      </c>
    </row>
    <row r="9" spans="1:9" x14ac:dyDescent="0.25">
      <c r="A9" s="3">
        <v>8</v>
      </c>
      <c r="B9" s="3" t="s">
        <v>14</v>
      </c>
      <c r="C9" s="3" t="s">
        <v>13</v>
      </c>
      <c r="D9" s="3" t="s">
        <v>10</v>
      </c>
      <c r="E9" s="3">
        <v>6</v>
      </c>
      <c r="F9" s="3">
        <v>7</v>
      </c>
    </row>
    <row r="10" spans="1:9" x14ac:dyDescent="0.25">
      <c r="A10" s="3">
        <v>9</v>
      </c>
      <c r="B10" s="3" t="s">
        <v>15</v>
      </c>
      <c r="C10" s="3" t="s">
        <v>7</v>
      </c>
      <c r="D10" s="3" t="s">
        <v>12</v>
      </c>
      <c r="E10" s="3">
        <v>2</v>
      </c>
      <c r="F10" s="3">
        <v>8</v>
      </c>
    </row>
    <row r="11" spans="1:9" x14ac:dyDescent="0.25">
      <c r="A11" s="3">
        <v>10</v>
      </c>
      <c r="B11" s="3" t="s">
        <v>15</v>
      </c>
      <c r="C11" s="3" t="s">
        <v>9</v>
      </c>
      <c r="D11" s="3" t="s">
        <v>8</v>
      </c>
      <c r="E11" s="3">
        <v>3</v>
      </c>
      <c r="F11" s="3">
        <v>5</v>
      </c>
    </row>
    <row r="12" spans="1:9" x14ac:dyDescent="0.25">
      <c r="A12" s="3">
        <v>11</v>
      </c>
      <c r="B12" s="3" t="s">
        <v>15</v>
      </c>
      <c r="C12" s="3" t="s">
        <v>11</v>
      </c>
      <c r="D12" s="3" t="s">
        <v>10</v>
      </c>
      <c r="E12" s="3">
        <v>5</v>
      </c>
      <c r="F12" s="3">
        <v>5</v>
      </c>
    </row>
    <row r="13" spans="1:9" x14ac:dyDescent="0.25">
      <c r="A13" s="3">
        <v>12</v>
      </c>
      <c r="B13" s="3" t="s">
        <v>15</v>
      </c>
      <c r="C13" s="3" t="s">
        <v>13</v>
      </c>
      <c r="D13" s="3" t="s">
        <v>8</v>
      </c>
      <c r="E13" s="3">
        <v>6</v>
      </c>
      <c r="F13" s="3">
        <v>15</v>
      </c>
    </row>
    <row r="14" spans="1:9" x14ac:dyDescent="0.25">
      <c r="A14" s="3">
        <v>12</v>
      </c>
      <c r="B14" s="3" t="s">
        <v>15</v>
      </c>
      <c r="C14" s="3" t="s">
        <v>13</v>
      </c>
      <c r="D14" s="3" t="s">
        <v>8</v>
      </c>
      <c r="E14" s="3">
        <v>6</v>
      </c>
      <c r="F14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31CD-D308-46FB-87A3-FE23942641E7}">
  <dimension ref="A1:C5"/>
  <sheetViews>
    <sheetView workbookViewId="0">
      <selection sqref="A1:C5"/>
    </sheetView>
  </sheetViews>
  <sheetFormatPr defaultRowHeight="15" x14ac:dyDescent="0.25"/>
  <cols>
    <col min="1" max="1" width="8.5703125" bestFit="1" customWidth="1"/>
    <col min="2" max="2" width="15.42578125" bestFit="1" customWidth="1"/>
    <col min="3" max="3" width="12.28515625" bestFit="1" customWidth="1"/>
  </cols>
  <sheetData>
    <row r="1" spans="1:3" x14ac:dyDescent="0.25">
      <c r="A1" s="4" t="s">
        <v>2</v>
      </c>
      <c r="B1" s="4" t="s">
        <v>16</v>
      </c>
      <c r="C1" s="4" t="s">
        <v>17</v>
      </c>
    </row>
    <row r="2" spans="1:3" x14ac:dyDescent="0.25">
      <c r="A2" s="3" t="s">
        <v>7</v>
      </c>
      <c r="B2" s="3" t="s">
        <v>18</v>
      </c>
      <c r="C2" s="3" t="s">
        <v>19</v>
      </c>
    </row>
    <row r="3" spans="1:3" x14ac:dyDescent="0.25">
      <c r="A3" s="3" t="s">
        <v>9</v>
      </c>
      <c r="B3" s="3" t="s">
        <v>20</v>
      </c>
      <c r="C3" s="3" t="s">
        <v>19</v>
      </c>
    </row>
    <row r="4" spans="1:3" x14ac:dyDescent="0.25">
      <c r="A4" s="3" t="s">
        <v>11</v>
      </c>
      <c r="B4" s="3" t="s">
        <v>21</v>
      </c>
      <c r="C4" s="3" t="s">
        <v>22</v>
      </c>
    </row>
    <row r="5" spans="1:3" x14ac:dyDescent="0.25">
      <c r="A5" s="3" t="s">
        <v>13</v>
      </c>
      <c r="B5" s="3" t="s">
        <v>23</v>
      </c>
      <c r="C5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E2C8-9658-4003-94BB-67B4F3BDF845}">
  <dimension ref="A1:I13"/>
  <sheetViews>
    <sheetView workbookViewId="0">
      <selection activeCell="D32" sqref="D32"/>
    </sheetView>
  </sheetViews>
  <sheetFormatPr defaultRowHeight="15" x14ac:dyDescent="0.25"/>
  <cols>
    <col min="1" max="1" width="9.42578125" style="1" bestFit="1" customWidth="1"/>
    <col min="2" max="2" width="6.85546875" style="2" bestFit="1" customWidth="1"/>
    <col min="3" max="3" width="8.5703125" style="2" bestFit="1" customWidth="1"/>
    <col min="4" max="4" width="8.28515625" style="2" bestFit="1" customWidth="1"/>
    <col min="5" max="5" width="14.5703125" style="1" bestFit="1" customWidth="1"/>
    <col min="6" max="6" width="11.28515625" style="1" bestFit="1" customWidth="1"/>
    <col min="7" max="7" width="12.28515625" style="2" bestFit="1" customWidth="1"/>
    <col min="8" max="8" width="14" customWidth="1"/>
    <col min="9" max="9" width="23.42578125" bestFit="1" customWidth="1"/>
    <col min="10" max="10" width="21.7109375" bestFit="1" customWidth="1"/>
    <col min="11" max="11" width="14.140625" bestFit="1" customWidth="1"/>
  </cols>
  <sheetData>
    <row r="1" spans="1:9" x14ac:dyDescent="0.25">
      <c r="A1" s="10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9" t="s">
        <v>17</v>
      </c>
      <c r="H1" s="9" t="s">
        <v>28</v>
      </c>
      <c r="I1" s="11" t="s">
        <v>25</v>
      </c>
    </row>
    <row r="2" spans="1:9" x14ac:dyDescent="0.25">
      <c r="A2" s="8">
        <v>1</v>
      </c>
      <c r="B2" s="7" t="s">
        <v>6</v>
      </c>
      <c r="C2" s="7" t="s">
        <v>7</v>
      </c>
      <c r="D2" s="7" t="s">
        <v>8</v>
      </c>
      <c r="E2" s="8">
        <v>2</v>
      </c>
      <c r="F2" s="8">
        <v>2</v>
      </c>
      <c r="G2" s="7" t="str">
        <f>_xlfn.XLOOKUP(C2,'Lookup sheet'!$A$2:$A$5,'Lookup sheet'!$C$2:$C$5)</f>
        <v>Express</v>
      </c>
      <c r="H2" s="8">
        <f>MAX(F2-E2,0)</f>
        <v>0</v>
      </c>
      <c r="I2" s="12">
        <f>COUNTA(A2:A13)</f>
        <v>12</v>
      </c>
    </row>
    <row r="3" spans="1:9" x14ac:dyDescent="0.25">
      <c r="A3" s="8">
        <v>2</v>
      </c>
      <c r="B3" s="7" t="s">
        <v>6</v>
      </c>
      <c r="C3" s="7" t="s">
        <v>9</v>
      </c>
      <c r="D3" s="7" t="s">
        <v>10</v>
      </c>
      <c r="E3" s="8">
        <v>3</v>
      </c>
      <c r="F3" s="8">
        <v>4</v>
      </c>
      <c r="G3" s="7" t="str">
        <f>_xlfn.XLOOKUP(C3,'Lookup sheet'!$A$2:$A$5,'Lookup sheet'!$C$2:$C$5)</f>
        <v>Express</v>
      </c>
      <c r="H3" s="8">
        <f t="shared" ref="H3:H13" si="0">MAX(F3-E3,0)</f>
        <v>1</v>
      </c>
      <c r="I3" s="11" t="s">
        <v>26</v>
      </c>
    </row>
    <row r="4" spans="1:9" x14ac:dyDescent="0.25">
      <c r="A4" s="8">
        <v>3</v>
      </c>
      <c r="B4" s="7" t="s">
        <v>6</v>
      </c>
      <c r="C4" s="7" t="s">
        <v>11</v>
      </c>
      <c r="D4" s="7" t="s">
        <v>12</v>
      </c>
      <c r="E4" s="8">
        <v>5</v>
      </c>
      <c r="F4" s="8">
        <v>8</v>
      </c>
      <c r="G4" s="7" t="str">
        <f>_xlfn.XLOOKUP(C4,'Lookup sheet'!$A$2:$A$5,'Lookup sheet'!$C$2:$C$5)</f>
        <v>Standard</v>
      </c>
      <c r="H4" s="8">
        <f t="shared" si="0"/>
        <v>3</v>
      </c>
      <c r="I4" s="12">
        <f>COUNTA('Row sheet'!A2:A14)</f>
        <v>13</v>
      </c>
    </row>
    <row r="5" spans="1:9" x14ac:dyDescent="0.25">
      <c r="A5" s="8">
        <v>4</v>
      </c>
      <c r="B5" s="7" t="s">
        <v>6</v>
      </c>
      <c r="C5" s="7" t="s">
        <v>13</v>
      </c>
      <c r="D5" s="7" t="s">
        <v>8</v>
      </c>
      <c r="E5" s="8">
        <v>6</v>
      </c>
      <c r="F5" s="8">
        <v>10</v>
      </c>
      <c r="G5" s="7" t="str">
        <f>_xlfn.XLOOKUP(C5,'Lookup sheet'!$A$2:$A$5,'Lookup sheet'!$C$2:$C$5)</f>
        <v>Standard</v>
      </c>
      <c r="H5" s="8">
        <f t="shared" si="0"/>
        <v>4</v>
      </c>
      <c r="I5" s="11" t="s">
        <v>27</v>
      </c>
    </row>
    <row r="6" spans="1:9" x14ac:dyDescent="0.25">
      <c r="A6" s="8">
        <v>5</v>
      </c>
      <c r="B6" s="7" t="s">
        <v>14</v>
      </c>
      <c r="C6" s="7" t="s">
        <v>7</v>
      </c>
      <c r="D6" s="7" t="s">
        <v>10</v>
      </c>
      <c r="E6" s="8">
        <v>2</v>
      </c>
      <c r="F6" s="8">
        <v>5</v>
      </c>
      <c r="G6" s="7" t="str">
        <f>_xlfn.XLOOKUP(C6,'Lookup sheet'!$A$2:$A$5,'Lookup sheet'!$C$2:$C$5)</f>
        <v>Express</v>
      </c>
      <c r="H6" s="8">
        <f t="shared" si="0"/>
        <v>3</v>
      </c>
      <c r="I6" s="12">
        <f>I4-I2</f>
        <v>1</v>
      </c>
    </row>
    <row r="7" spans="1:9" x14ac:dyDescent="0.25">
      <c r="A7" s="8">
        <v>6</v>
      </c>
      <c r="B7" s="7" t="s">
        <v>14</v>
      </c>
      <c r="C7" s="7" t="s">
        <v>9</v>
      </c>
      <c r="D7" s="7" t="s">
        <v>12</v>
      </c>
      <c r="E7" s="8">
        <v>3</v>
      </c>
      <c r="F7" s="8">
        <v>3</v>
      </c>
      <c r="G7" s="7" t="str">
        <f>_xlfn.XLOOKUP(C7,'Lookup sheet'!$A$2:$A$5,'Lookup sheet'!$C$2:$C$5)</f>
        <v>Express</v>
      </c>
      <c r="H7" s="8">
        <f t="shared" si="0"/>
        <v>0</v>
      </c>
    </row>
    <row r="8" spans="1:9" x14ac:dyDescent="0.25">
      <c r="A8" s="8">
        <v>7</v>
      </c>
      <c r="B8" s="7" t="s">
        <v>14</v>
      </c>
      <c r="C8" s="7" t="s">
        <v>11</v>
      </c>
      <c r="D8" s="7" t="s">
        <v>12</v>
      </c>
      <c r="E8" s="8">
        <v>5</v>
      </c>
      <c r="F8" s="8">
        <v>10</v>
      </c>
      <c r="G8" s="7" t="str">
        <f>_xlfn.XLOOKUP(C8,'Lookup sheet'!$A$2:$A$5,'Lookup sheet'!$C$2:$C$5)</f>
        <v>Standard</v>
      </c>
      <c r="H8" s="8">
        <f t="shared" si="0"/>
        <v>5</v>
      </c>
    </row>
    <row r="9" spans="1:9" x14ac:dyDescent="0.25">
      <c r="A9" s="8">
        <v>8</v>
      </c>
      <c r="B9" s="7" t="s">
        <v>14</v>
      </c>
      <c r="C9" s="7" t="s">
        <v>13</v>
      </c>
      <c r="D9" s="7" t="s">
        <v>10</v>
      </c>
      <c r="E9" s="8">
        <v>6</v>
      </c>
      <c r="F9" s="8">
        <v>7</v>
      </c>
      <c r="G9" s="7" t="str">
        <f>_xlfn.XLOOKUP(C9,'Lookup sheet'!$A$2:$A$5,'Lookup sheet'!$C$2:$C$5)</f>
        <v>Standard</v>
      </c>
      <c r="H9" s="8">
        <f t="shared" si="0"/>
        <v>1</v>
      </c>
    </row>
    <row r="10" spans="1:9" x14ac:dyDescent="0.25">
      <c r="A10" s="8">
        <v>9</v>
      </c>
      <c r="B10" s="7" t="s">
        <v>15</v>
      </c>
      <c r="C10" s="7" t="s">
        <v>7</v>
      </c>
      <c r="D10" s="7" t="s">
        <v>12</v>
      </c>
      <c r="E10" s="8">
        <v>2</v>
      </c>
      <c r="F10" s="8">
        <v>8</v>
      </c>
      <c r="G10" s="7" t="str">
        <f>_xlfn.XLOOKUP(C10,'Lookup sheet'!$A$2:$A$5,'Lookup sheet'!$C$2:$C$5)</f>
        <v>Express</v>
      </c>
      <c r="H10" s="8">
        <f t="shared" si="0"/>
        <v>6</v>
      </c>
    </row>
    <row r="11" spans="1:9" x14ac:dyDescent="0.25">
      <c r="A11" s="8">
        <v>10</v>
      </c>
      <c r="B11" s="7" t="s">
        <v>15</v>
      </c>
      <c r="C11" s="7" t="s">
        <v>9</v>
      </c>
      <c r="D11" s="7" t="s">
        <v>8</v>
      </c>
      <c r="E11" s="8">
        <v>3</v>
      </c>
      <c r="F11" s="8">
        <v>5</v>
      </c>
      <c r="G11" s="7" t="str">
        <f>_xlfn.XLOOKUP(C11,'Lookup sheet'!$A$2:$A$5,'Lookup sheet'!$C$2:$C$5)</f>
        <v>Express</v>
      </c>
      <c r="H11" s="8">
        <f t="shared" si="0"/>
        <v>2</v>
      </c>
    </row>
    <row r="12" spans="1:9" x14ac:dyDescent="0.25">
      <c r="A12" s="8">
        <v>11</v>
      </c>
      <c r="B12" s="7" t="s">
        <v>15</v>
      </c>
      <c r="C12" s="7" t="s">
        <v>11</v>
      </c>
      <c r="D12" s="7" t="s">
        <v>10</v>
      </c>
      <c r="E12" s="8">
        <v>5</v>
      </c>
      <c r="F12" s="8">
        <v>5</v>
      </c>
      <c r="G12" s="7" t="str">
        <f>_xlfn.XLOOKUP(C12,'Lookup sheet'!$A$2:$A$5,'Lookup sheet'!$C$2:$C$5)</f>
        <v>Standard</v>
      </c>
      <c r="H12" s="8">
        <f t="shared" si="0"/>
        <v>0</v>
      </c>
    </row>
    <row r="13" spans="1:9" x14ac:dyDescent="0.25">
      <c r="A13" s="8">
        <v>12</v>
      </c>
      <c r="B13" s="7" t="s">
        <v>15</v>
      </c>
      <c r="C13" s="7" t="s">
        <v>13</v>
      </c>
      <c r="D13" s="7" t="s">
        <v>8</v>
      </c>
      <c r="E13" s="8">
        <v>6</v>
      </c>
      <c r="F13" s="8">
        <v>15</v>
      </c>
      <c r="G13" s="7" t="str">
        <f>_xlfn.XLOOKUP(C13,'Lookup sheet'!$A$2:$A$5,'Lookup sheet'!$C$2:$C$5)</f>
        <v>Standard</v>
      </c>
      <c r="H13" s="8">
        <f t="shared" si="0"/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3DE5-7666-4F9C-9DD5-22BBB8C1C715}">
  <dimension ref="A1:I5"/>
  <sheetViews>
    <sheetView tabSelected="1" workbookViewId="0">
      <selection activeCell="I21" sqref="I21"/>
    </sheetView>
  </sheetViews>
  <sheetFormatPr defaultRowHeight="15" x14ac:dyDescent="0.25"/>
  <cols>
    <col min="2" max="2" width="11.7109375" bestFit="1" customWidth="1"/>
    <col min="5" max="5" width="17.85546875" bestFit="1" customWidth="1"/>
    <col min="6" max="6" width="16.28515625" bestFit="1" customWidth="1"/>
    <col min="7" max="7" width="4.28515625" bestFit="1" customWidth="1"/>
    <col min="8" max="8" width="4.5703125" bestFit="1" customWidth="1"/>
    <col min="9" max="9" width="11.28515625" bestFit="1" customWidth="1"/>
  </cols>
  <sheetData>
    <row r="1" spans="1:9" x14ac:dyDescent="0.25">
      <c r="A1" s="9" t="s">
        <v>3</v>
      </c>
      <c r="B1" s="4" t="s">
        <v>29</v>
      </c>
      <c r="E1" s="13" t="s">
        <v>33</v>
      </c>
      <c r="F1" s="13" t="s">
        <v>32</v>
      </c>
    </row>
    <row r="2" spans="1:9" x14ac:dyDescent="0.25">
      <c r="A2" s="7" t="s">
        <v>8</v>
      </c>
      <c r="B2" s="3">
        <f>SUMIFS('clean sheet'!$H$2:$H$13,'clean sheet'!$D$2:$D$13,summary_sheet!A2)</f>
        <v>15</v>
      </c>
      <c r="E2" s="13" t="s">
        <v>30</v>
      </c>
      <c r="F2" t="s">
        <v>6</v>
      </c>
      <c r="G2" t="s">
        <v>14</v>
      </c>
      <c r="H2" t="s">
        <v>15</v>
      </c>
      <c r="I2" t="s">
        <v>31</v>
      </c>
    </row>
    <row r="3" spans="1:9" x14ac:dyDescent="0.25">
      <c r="A3" s="7" t="s">
        <v>10</v>
      </c>
      <c r="B3" s="3">
        <f>SUMIFS('clean sheet'!$H$2:$H$13,'clean sheet'!$D$2:$D$13,summary_sheet!A3)</f>
        <v>5</v>
      </c>
      <c r="E3" s="14" t="s">
        <v>19</v>
      </c>
      <c r="F3" s="1">
        <v>1</v>
      </c>
      <c r="G3" s="1">
        <v>3</v>
      </c>
      <c r="H3" s="1">
        <v>8</v>
      </c>
      <c r="I3" s="1">
        <v>12</v>
      </c>
    </row>
    <row r="4" spans="1:9" x14ac:dyDescent="0.25">
      <c r="A4" s="7" t="s">
        <v>12</v>
      </c>
      <c r="B4" s="3">
        <f>SUMIFS('clean sheet'!$H$2:$H$13,'clean sheet'!$D$2:$D$13,summary_sheet!A4)</f>
        <v>14</v>
      </c>
      <c r="E4" s="14" t="s">
        <v>22</v>
      </c>
      <c r="F4" s="1">
        <v>7</v>
      </c>
      <c r="G4" s="1">
        <v>6</v>
      </c>
      <c r="H4" s="1">
        <v>9</v>
      </c>
      <c r="I4" s="1">
        <v>22</v>
      </c>
    </row>
    <row r="5" spans="1:9" x14ac:dyDescent="0.25">
      <c r="E5" s="14" t="s">
        <v>31</v>
      </c>
      <c r="F5" s="1">
        <v>8</v>
      </c>
      <c r="G5" s="1">
        <v>9</v>
      </c>
      <c r="H5" s="1">
        <v>17</v>
      </c>
      <c r="I5" s="1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sheet</vt:lpstr>
      <vt:lpstr>Lookup sheet</vt:lpstr>
      <vt:lpstr>clean sheet</vt:lpstr>
      <vt:lpstr>summary_sheet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Makwana</dc:creator>
  <cp:lastModifiedBy>Mayur Makwana</cp:lastModifiedBy>
  <dcterms:created xsi:type="dcterms:W3CDTF">2026-09-26T04:20:17Z</dcterms:created>
  <dcterms:modified xsi:type="dcterms:W3CDTF">2026-09-26T05:43:34Z</dcterms:modified>
</cp:coreProperties>
</file>